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yongqunh\Dropbox (University of Michigan)\COVID-19 related papers and research\COVID-19 vaccine adverse events study, Fontiers\Revision\Supplemental\"/>
    </mc:Choice>
  </mc:AlternateContent>
  <xr:revisionPtr revIDLastSave="0" documentId="13_ncr:1_{A52DF0FB-B7B0-42DD-929C-C3E94A7F1D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tistical analysis of 3 A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1UXlYyJZa5jR2driG7u49ra6+Qw=="/>
    </ext>
  </extLst>
</workbook>
</file>

<file path=xl/calcChain.xml><?xml version="1.0" encoding="utf-8"?>
<calcChain xmlns="http://schemas.openxmlformats.org/spreadsheetml/2006/main">
  <c r="E4" i="1" l="1"/>
  <c r="D4" i="1"/>
  <c r="C4" i="1"/>
</calcChain>
</file>

<file path=xl/sharedStrings.xml><?xml version="1.0" encoding="utf-8"?>
<sst xmlns="http://schemas.openxmlformats.org/spreadsheetml/2006/main" count="223" uniqueCount="24">
  <si>
    <t>Janssen</t>
  </si>
  <si>
    <t>Pfizer</t>
  </si>
  <si>
    <t>Moderna</t>
  </si>
  <si>
    <t>Total AE</t>
  </si>
  <si>
    <t>Myocarditis</t>
  </si>
  <si>
    <t>Count</t>
  </si>
  <si>
    <t>Case Report Frequency</t>
  </si>
  <si>
    <t>GBS</t>
  </si>
  <si>
    <t>Thrombosis</t>
  </si>
  <si>
    <t>Overall results</t>
  </si>
  <si>
    <t>PRR</t>
  </si>
  <si>
    <t>Chi-square</t>
  </si>
  <si>
    <t>Female</t>
  </si>
  <si>
    <t>Male</t>
  </si>
  <si>
    <t>1 dose</t>
  </si>
  <si>
    <t>2 doses</t>
  </si>
  <si>
    <t>N/A</t>
  </si>
  <si>
    <t>3 doses</t>
  </si>
  <si>
    <t>Age 18-29</t>
  </si>
  <si>
    <t>Age 30-39</t>
  </si>
  <si>
    <t>Age 40-49</t>
  </si>
  <si>
    <t>Age 50-59</t>
  </si>
  <si>
    <t>Age 60-64</t>
  </si>
  <si>
    <t>Age 65-79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</si>
</sst>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rgb="FF212121"/>
      <name val="Arial"/>
    </font>
    <font>
      <b/>
      <sz val="10"/>
      <color theme="1"/>
      <name val="Arial"/>
    </font>
    <font>
      <sz val="11"/>
      <color theme="1"/>
      <name val="Arial"/>
      <scheme val="minor"/>
    </font>
    <font>
      <b/>
      <sz val="10"/>
      <color rgb="FF212121"/>
      <name val="Arial"/>
    </font>
    <font>
      <sz val="9"/>
      <color rgb="FF212121"/>
      <name val="Monaco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/>
    <xf numFmtId="10" fontId="1" fillId="0" borderId="0" xfId="0" applyNumberFormat="1" applyFont="1" applyAlignment="1">
      <alignment horizontal="right"/>
    </xf>
    <xf numFmtId="10" fontId="1" fillId="0" borderId="3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3" xfId="0" applyNumberFormat="1" applyFont="1" applyBorder="1"/>
    <xf numFmtId="10" fontId="1" fillId="0" borderId="3" xfId="0" applyNumberFormat="1" applyFont="1" applyBorder="1"/>
    <xf numFmtId="0" fontId="7" fillId="0" borderId="0" xfId="0" applyFont="1" applyAlignment="1"/>
    <xf numFmtId="2" fontId="1" fillId="2" borderId="3" xfId="0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9" fillId="2" borderId="7" xfId="0" applyFont="1" applyFill="1" applyBorder="1" applyAlignment="1">
      <alignment horizontal="left"/>
    </xf>
    <xf numFmtId="10" fontId="1" fillId="0" borderId="0" xfId="0" applyNumberFormat="1" applyFont="1"/>
    <xf numFmtId="2" fontId="1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9" fillId="2" borderId="8" xfId="0" applyFont="1" applyFill="1" applyBorder="1" applyAlignment="1">
      <alignment horizontal="left"/>
    </xf>
    <xf numFmtId="0" fontId="1" fillId="0" borderId="3" xfId="0" applyFont="1" applyBorder="1" applyAlignment="1">
      <alignment horizontal="right"/>
    </xf>
    <xf numFmtId="2" fontId="1" fillId="2" borderId="8" xfId="0" applyNumberFormat="1" applyFont="1" applyFill="1" applyBorder="1" applyAlignment="1">
      <alignment horizontal="right"/>
    </xf>
    <xf numFmtId="4" fontId="1" fillId="0" borderId="3" xfId="0" applyNumberFormat="1" applyFont="1" applyBorder="1"/>
    <xf numFmtId="4" fontId="1" fillId="0" borderId="0" xfId="0" applyNumberFormat="1" applyFont="1"/>
    <xf numFmtId="0" fontId="6" fillId="0" borderId="0" xfId="0" applyFont="1"/>
    <xf numFmtId="0" fontId="1" fillId="2" borderId="8" xfId="0" applyFont="1" applyFill="1" applyBorder="1"/>
    <xf numFmtId="0" fontId="1" fillId="0" borderId="1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6" fillId="0" borderId="1" xfId="0" applyFont="1" applyBorder="1"/>
    <xf numFmtId="0" fontId="8" fillId="0" borderId="0" xfId="0" applyFont="1"/>
    <xf numFmtId="0" fontId="0" fillId="0" borderId="0" xfId="0" applyFont="1" applyAlignment="1"/>
    <xf numFmtId="0" fontId="1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topLeftCell="A130" workbookViewId="0">
      <selection sqref="A1:B1"/>
    </sheetView>
  </sheetViews>
  <sheetFormatPr defaultColWidth="12.5703125" defaultRowHeight="15" customHeight="1"/>
  <cols>
    <col min="1" max="1" width="14.42578125" customWidth="1"/>
    <col min="2" max="2" width="18.7109375" customWidth="1"/>
    <col min="3" max="5" width="14.42578125" customWidth="1"/>
    <col min="6" max="6" width="17.5703125" customWidth="1"/>
    <col min="7" max="7" width="14.42578125" customWidth="1"/>
    <col min="8" max="8" width="18.7109375" customWidth="1"/>
    <col min="9" max="26" width="14.42578125" customWidth="1"/>
  </cols>
  <sheetData>
    <row r="1" spans="1:13" ht="15.75" customHeight="1">
      <c r="A1" s="30"/>
      <c r="B1" s="31"/>
      <c r="C1" s="1" t="s">
        <v>0</v>
      </c>
      <c r="D1" s="1" t="s">
        <v>1</v>
      </c>
      <c r="E1" s="1" t="s">
        <v>2</v>
      </c>
    </row>
    <row r="2" spans="1:13" ht="15.75" customHeight="1">
      <c r="A2" s="32" t="s">
        <v>3</v>
      </c>
      <c r="B2" s="31"/>
      <c r="C2" s="2">
        <v>63801</v>
      </c>
      <c r="D2" s="3">
        <v>322281</v>
      </c>
      <c r="E2" s="3">
        <v>329457</v>
      </c>
    </row>
    <row r="3" spans="1:13" ht="15.75" customHeight="1">
      <c r="A3" s="33" t="s">
        <v>4</v>
      </c>
      <c r="B3" s="4" t="s">
        <v>5</v>
      </c>
      <c r="C3" s="3">
        <v>73</v>
      </c>
      <c r="D3" s="3">
        <v>1471</v>
      </c>
      <c r="E3" s="3">
        <v>751</v>
      </c>
    </row>
    <row r="4" spans="1:13" ht="15.75" customHeight="1">
      <c r="A4" s="34"/>
      <c r="B4" s="4" t="s">
        <v>6</v>
      </c>
      <c r="C4" s="5">
        <f t="shared" ref="C4:E4" si="0">C3/C2</f>
        <v>1.1441826930612372E-3</v>
      </c>
      <c r="D4" s="6">
        <f t="shared" si="0"/>
        <v>4.5643398152543898E-3</v>
      </c>
      <c r="E4" s="6">
        <f t="shared" si="0"/>
        <v>2.2795084032210576E-3</v>
      </c>
      <c r="J4" s="7"/>
    </row>
    <row r="5" spans="1:13" ht="15.75" customHeight="1">
      <c r="A5" s="33" t="s">
        <v>7</v>
      </c>
      <c r="B5" s="4" t="s">
        <v>5</v>
      </c>
      <c r="C5" s="3">
        <v>233</v>
      </c>
      <c r="D5" s="3">
        <v>340</v>
      </c>
      <c r="E5" s="3">
        <v>243</v>
      </c>
    </row>
    <row r="6" spans="1:13" ht="15.75" customHeight="1">
      <c r="A6" s="34"/>
      <c r="B6" s="4" t="s">
        <v>6</v>
      </c>
      <c r="C6" s="6">
        <v>3.7000000000000002E-3</v>
      </c>
      <c r="D6" s="6">
        <v>1.1000000000000001E-3</v>
      </c>
      <c r="E6" s="6">
        <v>6.9999999999999999E-4</v>
      </c>
      <c r="I6" s="8"/>
      <c r="J6" s="9"/>
      <c r="K6" s="8"/>
      <c r="L6" s="8"/>
    </row>
    <row r="7" spans="1:13" ht="15.75" customHeight="1">
      <c r="A7" s="33" t="s">
        <v>8</v>
      </c>
      <c r="B7" s="4" t="s">
        <v>5</v>
      </c>
      <c r="C7" s="1">
        <v>992</v>
      </c>
      <c r="D7" s="1">
        <v>1708</v>
      </c>
      <c r="E7" s="1">
        <v>1196</v>
      </c>
      <c r="I7" s="9"/>
      <c r="J7" s="10"/>
      <c r="K7" s="10"/>
      <c r="L7" s="10"/>
    </row>
    <row r="8" spans="1:13" ht="15.75" customHeight="1">
      <c r="A8" s="34"/>
      <c r="B8" s="4" t="s">
        <v>6</v>
      </c>
      <c r="C8" s="6">
        <v>1.5599999999999999E-2</v>
      </c>
      <c r="D8" s="6">
        <v>5.3E-3</v>
      </c>
      <c r="E8" s="6">
        <v>3.5999999999999999E-3</v>
      </c>
      <c r="I8" s="9"/>
      <c r="J8" s="10"/>
      <c r="K8" s="10"/>
      <c r="L8" s="10"/>
      <c r="M8" s="11"/>
    </row>
    <row r="9" spans="1:13" ht="15.75" customHeight="1">
      <c r="I9" s="9"/>
      <c r="J9" s="10"/>
      <c r="K9" s="10"/>
      <c r="L9" s="10"/>
    </row>
    <row r="10" spans="1:13" ht="15.75" customHeight="1">
      <c r="I10" s="8"/>
      <c r="J10" s="12"/>
      <c r="K10" s="10"/>
      <c r="L10" s="10"/>
    </row>
    <row r="11" spans="1:13" ht="15.75" customHeight="1">
      <c r="A11" s="36" t="s">
        <v>9</v>
      </c>
      <c r="B11" s="31"/>
      <c r="C11" s="1" t="s">
        <v>0</v>
      </c>
      <c r="D11" s="1" t="s">
        <v>1</v>
      </c>
      <c r="E11" s="1" t="s">
        <v>2</v>
      </c>
      <c r="F11" s="13"/>
      <c r="I11" s="8"/>
      <c r="J11" s="12"/>
      <c r="K11" s="10"/>
      <c r="L11" s="10"/>
      <c r="M11" s="11"/>
    </row>
    <row r="12" spans="1:13" ht="15.75" customHeight="1">
      <c r="A12" s="33" t="s">
        <v>4</v>
      </c>
      <c r="B12" s="1" t="s">
        <v>10</v>
      </c>
      <c r="C12" s="14">
        <v>0.61680000000000001</v>
      </c>
      <c r="D12" s="14">
        <v>4.3391999999999999</v>
      </c>
      <c r="E12" s="14">
        <v>1.3472</v>
      </c>
      <c r="F12" s="10"/>
      <c r="I12" s="8"/>
      <c r="J12" s="10"/>
      <c r="K12" s="10"/>
      <c r="L12" s="10"/>
      <c r="M12" s="10"/>
    </row>
    <row r="13" spans="1:13" ht="15.75" customHeight="1">
      <c r="A13" s="35"/>
      <c r="B13" s="1" t="s">
        <v>11</v>
      </c>
      <c r="C13" s="14">
        <v>16.935099999999998</v>
      </c>
      <c r="D13" s="14">
        <v>1703.6728000000001</v>
      </c>
      <c r="E13" s="14">
        <v>48.410499999999999</v>
      </c>
      <c r="F13" s="10"/>
      <c r="I13" s="8"/>
      <c r="J13" s="10"/>
      <c r="K13" s="10"/>
      <c r="L13" s="10"/>
    </row>
    <row r="14" spans="1:13" ht="15.75" customHeight="1">
      <c r="A14" s="34"/>
      <c r="B14" s="4" t="s">
        <v>6</v>
      </c>
      <c r="C14" s="15">
        <v>1.1000000000000001E-3</v>
      </c>
      <c r="D14" s="15">
        <v>4.5999999999999999E-3</v>
      </c>
      <c r="E14" s="15">
        <v>2.3E-3</v>
      </c>
      <c r="F14" s="10"/>
      <c r="I14" s="8"/>
      <c r="J14" s="10"/>
      <c r="K14" s="10"/>
      <c r="L14" s="10"/>
    </row>
    <row r="15" spans="1:13" ht="15.75" customHeight="1">
      <c r="A15" s="33" t="s">
        <v>7</v>
      </c>
      <c r="B15" s="1" t="s">
        <v>10</v>
      </c>
      <c r="C15" s="1">
        <v>1.29</v>
      </c>
      <c r="D15" s="1">
        <v>0.31</v>
      </c>
      <c r="E15" s="1">
        <v>0.21</v>
      </c>
      <c r="F15" s="10"/>
      <c r="I15" s="16"/>
      <c r="J15" s="10"/>
      <c r="K15" s="10"/>
      <c r="L15" s="10"/>
    </row>
    <row r="16" spans="1:13" ht="15.75" customHeight="1">
      <c r="A16" s="35"/>
      <c r="B16" s="1" t="s">
        <v>11</v>
      </c>
      <c r="C16" s="1">
        <v>14.37</v>
      </c>
      <c r="D16" s="1">
        <v>474.49</v>
      </c>
      <c r="E16" s="1">
        <v>674.09</v>
      </c>
      <c r="F16" s="10"/>
      <c r="I16" s="16"/>
      <c r="J16" s="10"/>
      <c r="K16" s="10"/>
      <c r="L16" s="10"/>
    </row>
    <row r="17" spans="1:13" ht="15.75" customHeight="1">
      <c r="A17" s="34"/>
      <c r="B17" s="4" t="s">
        <v>6</v>
      </c>
      <c r="C17" s="15">
        <v>3.7000000000000002E-3</v>
      </c>
      <c r="D17" s="15">
        <v>1.1000000000000001E-3</v>
      </c>
      <c r="E17" s="15">
        <v>6.9999999999999999E-4</v>
      </c>
      <c r="F17" s="10"/>
      <c r="I17" s="16"/>
      <c r="J17" s="10"/>
      <c r="K17" s="10"/>
      <c r="L17" s="10"/>
    </row>
    <row r="18" spans="1:13" ht="15.75" customHeight="1">
      <c r="A18" s="33" t="s">
        <v>8</v>
      </c>
      <c r="B18" s="1" t="s">
        <v>10</v>
      </c>
      <c r="C18" s="14">
        <v>6.84</v>
      </c>
      <c r="D18" s="14">
        <v>2.4500000000000002</v>
      </c>
      <c r="E18" s="14">
        <v>1.38</v>
      </c>
      <c r="F18" s="10"/>
    </row>
    <row r="19" spans="1:13" ht="15.75" customHeight="1">
      <c r="A19" s="35"/>
      <c r="B19" s="1" t="s">
        <v>11</v>
      </c>
      <c r="C19" s="14">
        <v>3786.02</v>
      </c>
      <c r="D19" s="14">
        <v>872.98599999999999</v>
      </c>
      <c r="E19" s="14">
        <v>91.197999999999993</v>
      </c>
      <c r="F19" s="10"/>
      <c r="I19" s="8"/>
      <c r="J19" s="9"/>
      <c r="K19" s="8"/>
      <c r="L19" s="8"/>
    </row>
    <row r="20" spans="1:13" ht="15.75" customHeight="1">
      <c r="A20" s="34"/>
      <c r="B20" s="4" t="s">
        <v>6</v>
      </c>
      <c r="C20" s="15">
        <v>1.55E-2</v>
      </c>
      <c r="D20" s="15">
        <v>5.3E-3</v>
      </c>
      <c r="E20" s="15">
        <v>3.5999999999999999E-3</v>
      </c>
      <c r="I20" s="9"/>
      <c r="J20" s="10"/>
      <c r="K20" s="10"/>
      <c r="L20" s="10"/>
    </row>
    <row r="21" spans="1:13" ht="15.75" customHeight="1">
      <c r="I21" s="9"/>
      <c r="J21" s="10"/>
      <c r="K21" s="10"/>
      <c r="L21" s="10"/>
    </row>
    <row r="22" spans="1:13" ht="15.75" customHeight="1">
      <c r="A22" s="36" t="s">
        <v>12</v>
      </c>
      <c r="B22" s="31"/>
      <c r="C22" s="1" t="s">
        <v>0</v>
      </c>
      <c r="D22" s="1" t="s">
        <v>1</v>
      </c>
      <c r="E22" s="1" t="s">
        <v>2</v>
      </c>
      <c r="I22" s="9"/>
      <c r="J22" s="10"/>
      <c r="K22" s="10"/>
      <c r="L22" s="10"/>
    </row>
    <row r="23" spans="1:13" ht="15.75" customHeight="1">
      <c r="A23" s="33" t="s">
        <v>4</v>
      </c>
      <c r="B23" s="1" t="s">
        <v>10</v>
      </c>
      <c r="C23" s="17">
        <v>0.97699999999999998</v>
      </c>
      <c r="D23" s="17">
        <v>3.706</v>
      </c>
      <c r="E23" s="17">
        <v>1.0892999999999999</v>
      </c>
      <c r="I23" s="8"/>
      <c r="J23" s="12"/>
      <c r="K23" s="10"/>
      <c r="L23" s="10"/>
    </row>
    <row r="24" spans="1:13" ht="15.75" customHeight="1">
      <c r="A24" s="35"/>
      <c r="B24" s="1" t="s">
        <v>11</v>
      </c>
      <c r="C24" s="17">
        <v>1.2999999999999999E-2</v>
      </c>
      <c r="D24" s="17">
        <v>307.5478</v>
      </c>
      <c r="E24" s="17">
        <v>1.016</v>
      </c>
      <c r="I24" s="8"/>
      <c r="J24" s="12"/>
      <c r="K24" s="10"/>
      <c r="L24" s="10"/>
    </row>
    <row r="25" spans="1:13" ht="15.75" customHeight="1">
      <c r="A25" s="34"/>
      <c r="B25" s="4" t="s">
        <v>6</v>
      </c>
      <c r="C25" s="15">
        <v>6.9999999999999999E-4</v>
      </c>
      <c r="D25" s="6">
        <v>1.6000000000000001E-3</v>
      </c>
      <c r="E25" s="15">
        <v>6.9999999999999999E-4</v>
      </c>
      <c r="F25" s="10"/>
      <c r="I25" s="8"/>
      <c r="J25" s="10"/>
      <c r="K25" s="10"/>
      <c r="L25" s="10"/>
    </row>
    <row r="26" spans="1:13" ht="15.75" customHeight="1">
      <c r="A26" s="33" t="s">
        <v>7</v>
      </c>
      <c r="B26" s="1" t="s">
        <v>10</v>
      </c>
      <c r="C26" s="1">
        <v>1.1299999999999999</v>
      </c>
      <c r="D26" s="1">
        <v>0.28000000000000003</v>
      </c>
      <c r="E26" s="1">
        <v>0.21</v>
      </c>
      <c r="I26" s="8"/>
      <c r="J26" s="10"/>
      <c r="K26" s="10"/>
      <c r="L26" s="10"/>
    </row>
    <row r="27" spans="1:13" ht="15.75" customHeight="1">
      <c r="A27" s="35"/>
      <c r="B27" s="1" t="s">
        <v>11</v>
      </c>
      <c r="C27" s="1">
        <v>1.28</v>
      </c>
      <c r="D27" s="1">
        <v>270.23</v>
      </c>
      <c r="E27" s="1">
        <v>364.99</v>
      </c>
      <c r="F27" s="10"/>
      <c r="I27" s="8"/>
      <c r="J27" s="10"/>
      <c r="K27" s="10"/>
      <c r="L27" s="10"/>
      <c r="M27" s="10"/>
    </row>
    <row r="28" spans="1:13" ht="15.75" customHeight="1">
      <c r="A28" s="34"/>
      <c r="B28" s="4" t="s">
        <v>6</v>
      </c>
      <c r="C28" s="15">
        <v>2.5000000000000001E-3</v>
      </c>
      <c r="D28" s="15">
        <v>6.9999999999999999E-4</v>
      </c>
      <c r="E28" s="15">
        <v>5.9999999999999995E-4</v>
      </c>
      <c r="F28" s="10"/>
      <c r="I28" s="16"/>
      <c r="J28" s="10"/>
      <c r="K28" s="10"/>
      <c r="L28" s="10"/>
    </row>
    <row r="29" spans="1:13" ht="15.75" customHeight="1">
      <c r="A29" s="33" t="s">
        <v>8</v>
      </c>
      <c r="B29" s="1" t="s">
        <v>10</v>
      </c>
      <c r="C29" s="14">
        <v>6.45</v>
      </c>
      <c r="D29" s="14">
        <v>2.31</v>
      </c>
      <c r="E29" s="14">
        <v>1.18</v>
      </c>
      <c r="I29" s="16"/>
      <c r="J29" s="10"/>
      <c r="K29" s="10"/>
      <c r="L29" s="10"/>
    </row>
    <row r="30" spans="1:13" ht="15.75" customHeight="1">
      <c r="A30" s="35"/>
      <c r="B30" s="1" t="s">
        <v>11</v>
      </c>
      <c r="C30" s="14">
        <v>1986.057</v>
      </c>
      <c r="D30" s="14">
        <v>462.35899999999998</v>
      </c>
      <c r="E30" s="14">
        <v>14.143000000000001</v>
      </c>
      <c r="I30" s="16"/>
      <c r="J30" s="10"/>
      <c r="K30" s="10"/>
      <c r="L30" s="10"/>
    </row>
    <row r="31" spans="1:13" ht="15.75" customHeight="1">
      <c r="A31" s="34"/>
      <c r="B31" s="4" t="s">
        <v>6</v>
      </c>
      <c r="C31" s="15">
        <v>1.5100000000000001E-2</v>
      </c>
      <c r="D31" s="15">
        <v>5.0000000000000001E-3</v>
      </c>
      <c r="E31" s="15">
        <v>3.2000000000000002E-3</v>
      </c>
    </row>
    <row r="32" spans="1:13" ht="15.75" customHeight="1">
      <c r="A32" s="37"/>
      <c r="B32" s="38"/>
      <c r="C32" s="11"/>
      <c r="D32" s="11"/>
      <c r="E32" s="11"/>
      <c r="F32" s="18"/>
      <c r="I32" s="9"/>
      <c r="J32" s="9"/>
      <c r="K32" s="8"/>
      <c r="L32" s="8"/>
    </row>
    <row r="33" spans="1:12" ht="15.75" customHeight="1">
      <c r="A33" s="36" t="s">
        <v>13</v>
      </c>
      <c r="B33" s="31"/>
      <c r="C33" s="1" t="s">
        <v>0</v>
      </c>
      <c r="D33" s="1" t="s">
        <v>1</v>
      </c>
      <c r="E33" s="1" t="s">
        <v>2</v>
      </c>
      <c r="F33" s="19"/>
      <c r="I33" s="9"/>
      <c r="J33" s="20"/>
      <c r="K33" s="20"/>
      <c r="L33" s="20"/>
    </row>
    <row r="34" spans="1:12" ht="15.75" customHeight="1">
      <c r="A34" s="33" t="s">
        <v>4</v>
      </c>
      <c r="B34" s="1" t="s">
        <v>10</v>
      </c>
      <c r="C34" s="17">
        <v>0.38090000000000002</v>
      </c>
      <c r="D34" s="21">
        <v>4.5545999999999998</v>
      </c>
      <c r="E34" s="17">
        <v>1.4654</v>
      </c>
      <c r="F34" s="19"/>
      <c r="I34" s="9"/>
      <c r="J34" s="20"/>
      <c r="K34" s="20"/>
      <c r="L34" s="20"/>
    </row>
    <row r="35" spans="1:12" ht="15.75" customHeight="1">
      <c r="A35" s="35"/>
      <c r="B35" s="1" t="s">
        <v>11</v>
      </c>
      <c r="C35" s="17">
        <v>39.6248</v>
      </c>
      <c r="D35" s="17">
        <v>1365.9490000000001</v>
      </c>
      <c r="E35" s="17">
        <v>57.645499999999998</v>
      </c>
      <c r="F35" s="11"/>
      <c r="I35" s="9"/>
      <c r="J35" s="20"/>
      <c r="K35" s="20"/>
      <c r="L35" s="20"/>
    </row>
    <row r="36" spans="1:12" ht="15.75" customHeight="1">
      <c r="A36" s="34"/>
      <c r="B36" s="4" t="s">
        <v>6</v>
      </c>
      <c r="C36" s="15">
        <v>1.6999999999999999E-3</v>
      </c>
      <c r="D36" s="3">
        <v>1.1399999999999999</v>
      </c>
      <c r="E36" s="15">
        <v>6.0000000000000001E-3</v>
      </c>
      <c r="F36" s="11"/>
      <c r="I36" s="8"/>
      <c r="J36" s="12"/>
      <c r="K36" s="20"/>
      <c r="L36" s="20"/>
    </row>
    <row r="37" spans="1:12" ht="15.75" customHeight="1">
      <c r="A37" s="33" t="s">
        <v>7</v>
      </c>
      <c r="B37" s="1" t="s">
        <v>10</v>
      </c>
      <c r="C37" s="1">
        <v>1.18</v>
      </c>
      <c r="D37" s="1">
        <v>0.31</v>
      </c>
      <c r="E37" s="1">
        <v>0.23</v>
      </c>
      <c r="F37" s="11"/>
      <c r="I37" s="8"/>
      <c r="J37" s="12"/>
      <c r="K37" s="20"/>
      <c r="L37" s="20"/>
    </row>
    <row r="38" spans="1:12" ht="15.75" customHeight="1">
      <c r="A38" s="35"/>
      <c r="B38" s="1" t="s">
        <v>11</v>
      </c>
      <c r="C38" s="1">
        <v>3</v>
      </c>
      <c r="D38" s="1">
        <v>231.74</v>
      </c>
      <c r="E38" s="1">
        <v>272.45999999999998</v>
      </c>
      <c r="F38" s="11"/>
      <c r="I38" s="8"/>
      <c r="J38" s="20"/>
      <c r="K38" s="20"/>
      <c r="L38" s="20"/>
    </row>
    <row r="39" spans="1:12" ht="15.75" customHeight="1">
      <c r="A39" s="34"/>
      <c r="B39" s="4" t="s">
        <v>6</v>
      </c>
      <c r="C39" s="15">
        <v>5.3E-3</v>
      </c>
      <c r="D39" s="15">
        <v>1.6999999999999999E-3</v>
      </c>
      <c r="E39" s="15">
        <v>1.1999999999999999E-3</v>
      </c>
      <c r="I39" s="8"/>
      <c r="J39" s="20"/>
      <c r="K39" s="20"/>
      <c r="L39" s="20"/>
    </row>
    <row r="40" spans="1:12" ht="15.75" customHeight="1">
      <c r="A40" s="33" t="s">
        <v>8</v>
      </c>
      <c r="B40" s="1" t="s">
        <v>10</v>
      </c>
      <c r="C40" s="14">
        <v>5.8</v>
      </c>
      <c r="D40" s="14">
        <v>2.36</v>
      </c>
      <c r="E40" s="14">
        <v>1.76</v>
      </c>
      <c r="I40" s="8"/>
      <c r="J40" s="20"/>
      <c r="K40" s="20"/>
      <c r="L40" s="20"/>
    </row>
    <row r="41" spans="1:12" ht="15.75" customHeight="1">
      <c r="A41" s="35"/>
      <c r="B41" s="1" t="s">
        <v>11</v>
      </c>
      <c r="C41" s="14">
        <v>1018.048</v>
      </c>
      <c r="D41" s="14">
        <v>264.274</v>
      </c>
      <c r="E41" s="14">
        <v>98.685000000000002</v>
      </c>
      <c r="F41" s="18"/>
      <c r="I41" s="16"/>
      <c r="J41" s="20"/>
      <c r="K41" s="20"/>
      <c r="L41" s="20"/>
    </row>
    <row r="42" spans="1:12" ht="15.75" customHeight="1">
      <c r="A42" s="34"/>
      <c r="B42" s="4" t="s">
        <v>6</v>
      </c>
      <c r="C42" s="15">
        <v>1.46E-2</v>
      </c>
      <c r="D42" s="15">
        <v>5.7000000000000002E-3</v>
      </c>
      <c r="E42" s="15">
        <v>4.7999999999999996E-3</v>
      </c>
      <c r="F42" s="19"/>
      <c r="I42" s="16"/>
      <c r="J42" s="20"/>
      <c r="K42" s="20"/>
      <c r="L42" s="20"/>
    </row>
    <row r="43" spans="1:12" ht="15.75" customHeight="1">
      <c r="A43" s="22"/>
      <c r="B43" s="11"/>
      <c r="C43" s="23"/>
      <c r="D43" s="23"/>
      <c r="E43" s="23"/>
      <c r="F43" s="19"/>
      <c r="I43" s="16"/>
      <c r="J43" s="20"/>
      <c r="K43" s="20"/>
      <c r="L43" s="20"/>
    </row>
    <row r="44" spans="1:12" ht="15.75" customHeight="1">
      <c r="A44" s="36" t="s">
        <v>14</v>
      </c>
      <c r="B44" s="31"/>
      <c r="C44" s="1" t="s">
        <v>0</v>
      </c>
      <c r="D44" s="1" t="s">
        <v>1</v>
      </c>
      <c r="E44" s="1" t="s">
        <v>2</v>
      </c>
      <c r="F44" s="11"/>
    </row>
    <row r="45" spans="1:12" ht="15.75" customHeight="1">
      <c r="A45" s="33" t="s">
        <v>4</v>
      </c>
      <c r="B45" s="1" t="s">
        <v>10</v>
      </c>
      <c r="C45" s="17">
        <v>1.0034000000000001</v>
      </c>
      <c r="D45" s="17">
        <v>2.4161000000000001</v>
      </c>
      <c r="E45" s="17">
        <v>1.1894</v>
      </c>
      <c r="F45" s="11"/>
    </row>
    <row r="46" spans="1:12" ht="15.75" customHeight="1">
      <c r="A46" s="35"/>
      <c r="B46" s="1" t="s">
        <v>11</v>
      </c>
      <c r="C46" s="17">
        <v>5.0000000000000001E-4</v>
      </c>
      <c r="D46" s="17">
        <v>162.31110000000001</v>
      </c>
      <c r="E46" s="17">
        <v>5.2740999999999998</v>
      </c>
      <c r="F46" s="11"/>
    </row>
    <row r="47" spans="1:12" ht="15.75" customHeight="1">
      <c r="A47" s="34"/>
      <c r="B47" s="4" t="s">
        <v>6</v>
      </c>
      <c r="C47" s="15">
        <v>1.1999999999999999E-3</v>
      </c>
      <c r="D47" s="15">
        <v>2.2000000000000001E-3</v>
      </c>
      <c r="E47" s="15">
        <v>1.4E-3</v>
      </c>
      <c r="F47" s="11"/>
    </row>
    <row r="48" spans="1:12" ht="15.75" customHeight="1">
      <c r="A48" s="33" t="s">
        <v>7</v>
      </c>
      <c r="B48" s="1" t="s">
        <v>10</v>
      </c>
      <c r="C48" s="1">
        <v>1.52</v>
      </c>
      <c r="D48" s="1">
        <v>0.4</v>
      </c>
      <c r="E48" s="1">
        <v>0.28000000000000003</v>
      </c>
    </row>
    <row r="49" spans="1:6" ht="15.75" customHeight="1">
      <c r="A49" s="35"/>
      <c r="B49" s="1" t="s">
        <v>11</v>
      </c>
      <c r="C49" s="1">
        <v>17.36</v>
      </c>
      <c r="D49" s="1">
        <v>114.4</v>
      </c>
      <c r="E49" s="1">
        <v>218.8</v>
      </c>
    </row>
    <row r="50" spans="1:6" ht="15.75" customHeight="1">
      <c r="A50" s="34"/>
      <c r="B50" s="4" t="s">
        <v>6</v>
      </c>
      <c r="C50" s="15">
        <v>2.8999999999999998E-3</v>
      </c>
      <c r="D50" s="15">
        <v>8.9999999999999998E-4</v>
      </c>
      <c r="E50" s="15">
        <v>6.9999999999999999E-4</v>
      </c>
      <c r="F50" s="18"/>
    </row>
    <row r="51" spans="1:6" ht="15.75" customHeight="1">
      <c r="A51" s="33" t="s">
        <v>8</v>
      </c>
      <c r="B51" s="1" t="s">
        <v>10</v>
      </c>
      <c r="C51" s="14">
        <v>6.26</v>
      </c>
      <c r="D51" s="14">
        <v>1.91</v>
      </c>
      <c r="E51" s="14">
        <v>1.1399999999999999</v>
      </c>
      <c r="F51" s="19"/>
    </row>
    <row r="52" spans="1:6" ht="15.75" customHeight="1">
      <c r="A52" s="35"/>
      <c r="B52" s="1" t="s">
        <v>11</v>
      </c>
      <c r="C52" s="14">
        <v>1667.759</v>
      </c>
      <c r="D52" s="14">
        <v>193.941</v>
      </c>
      <c r="E52" s="14">
        <v>6.6980000000000004</v>
      </c>
      <c r="F52" s="19"/>
    </row>
    <row r="53" spans="1:6" ht="15.75" customHeight="1">
      <c r="A53" s="34"/>
      <c r="B53" s="4" t="s">
        <v>6</v>
      </c>
      <c r="C53" s="15">
        <v>1.43E-2</v>
      </c>
      <c r="D53" s="15">
        <v>4.5999999999999999E-3</v>
      </c>
      <c r="E53" s="15">
        <v>3.2000000000000002E-3</v>
      </c>
      <c r="F53" s="11"/>
    </row>
    <row r="54" spans="1:6" ht="15.75" customHeight="1">
      <c r="A54" s="22"/>
      <c r="B54" s="11"/>
      <c r="C54" s="11"/>
      <c r="D54" s="11"/>
      <c r="E54" s="11"/>
      <c r="F54" s="11"/>
    </row>
    <row r="55" spans="1:6" ht="15.75" customHeight="1">
      <c r="A55" s="36" t="s">
        <v>15</v>
      </c>
      <c r="B55" s="31"/>
      <c r="C55" s="1" t="s">
        <v>0</v>
      </c>
      <c r="D55" s="1" t="s">
        <v>1</v>
      </c>
      <c r="E55" s="1" t="s">
        <v>2</v>
      </c>
      <c r="F55" s="11"/>
    </row>
    <row r="56" spans="1:6" ht="15.75" customHeight="1">
      <c r="A56" s="33" t="s">
        <v>4</v>
      </c>
      <c r="B56" s="1" t="s">
        <v>10</v>
      </c>
      <c r="C56" s="24" t="s">
        <v>16</v>
      </c>
      <c r="D56" s="17">
        <v>4.4710999999999999</v>
      </c>
      <c r="E56" s="17">
        <v>1.0066999999999999</v>
      </c>
      <c r="F56" s="11"/>
    </row>
    <row r="57" spans="1:6" ht="15.75" customHeight="1">
      <c r="A57" s="35"/>
      <c r="B57" s="1" t="s">
        <v>11</v>
      </c>
      <c r="C57" s="24" t="s">
        <v>16</v>
      </c>
      <c r="D57" s="25">
        <v>741.21749999999997</v>
      </c>
      <c r="E57" s="17">
        <v>1.1180000000000001E-2</v>
      </c>
    </row>
    <row r="58" spans="1:6" ht="15.75" customHeight="1">
      <c r="A58" s="34"/>
      <c r="B58" s="4" t="s">
        <v>6</v>
      </c>
      <c r="C58" s="24" t="s">
        <v>16</v>
      </c>
      <c r="D58" s="15">
        <v>7.4999999999999997E-3</v>
      </c>
      <c r="E58" s="15">
        <v>3.5999999999999999E-3</v>
      </c>
    </row>
    <row r="59" spans="1:6" ht="15.75" customHeight="1">
      <c r="A59" s="33" t="s">
        <v>7</v>
      </c>
      <c r="B59" s="1" t="s">
        <v>10</v>
      </c>
      <c r="C59" s="24" t="s">
        <v>16</v>
      </c>
      <c r="D59" s="1">
        <v>0.62</v>
      </c>
      <c r="E59" s="1">
        <v>567.49</v>
      </c>
      <c r="F59" s="18"/>
    </row>
    <row r="60" spans="1:6" ht="15.75" customHeight="1">
      <c r="A60" s="35"/>
      <c r="B60" s="1" t="s">
        <v>11</v>
      </c>
      <c r="C60" s="24" t="s">
        <v>16</v>
      </c>
      <c r="D60" s="1">
        <v>24.72</v>
      </c>
      <c r="E60" s="1">
        <v>0.11</v>
      </c>
      <c r="F60" s="23"/>
    </row>
    <row r="61" spans="1:6" ht="15.75" customHeight="1">
      <c r="A61" s="34"/>
      <c r="B61" s="4" t="s">
        <v>6</v>
      </c>
      <c r="C61" s="24" t="s">
        <v>16</v>
      </c>
      <c r="D61" s="15">
        <v>1.1999999999999999E-3</v>
      </c>
      <c r="E61" s="15">
        <v>4.0000000000000002E-4</v>
      </c>
      <c r="F61" s="23"/>
    </row>
    <row r="62" spans="1:6" ht="15.75" customHeight="1">
      <c r="A62" s="33" t="s">
        <v>8</v>
      </c>
      <c r="B62" s="1" t="s">
        <v>10</v>
      </c>
      <c r="C62" s="24" t="s">
        <v>16</v>
      </c>
      <c r="D62" s="14">
        <v>2.91</v>
      </c>
      <c r="E62" s="14">
        <v>1.61</v>
      </c>
      <c r="F62" s="11"/>
    </row>
    <row r="63" spans="1:6" ht="15.75" customHeight="1">
      <c r="A63" s="35"/>
      <c r="B63" s="1" t="s">
        <v>11</v>
      </c>
      <c r="C63" s="24" t="s">
        <v>16</v>
      </c>
      <c r="D63" s="14">
        <v>418.59800000000001</v>
      </c>
      <c r="E63" s="14">
        <v>73.363</v>
      </c>
      <c r="F63" s="11"/>
    </row>
    <row r="64" spans="1:6" ht="15.75" customHeight="1">
      <c r="A64" s="34"/>
      <c r="B64" s="4" t="s">
        <v>6</v>
      </c>
      <c r="C64" s="24" t="s">
        <v>16</v>
      </c>
      <c r="D64" s="15">
        <v>6.8999999999999999E-3</v>
      </c>
      <c r="E64" s="15">
        <v>5.4000000000000003E-3</v>
      </c>
      <c r="F64" s="11"/>
    </row>
    <row r="65" spans="1:6" ht="15.75" customHeight="1">
      <c r="A65" s="22"/>
      <c r="B65" s="11"/>
      <c r="C65" s="11"/>
      <c r="D65" s="11"/>
      <c r="E65" s="11"/>
      <c r="F65" s="11"/>
    </row>
    <row r="66" spans="1:6" ht="15.75" customHeight="1">
      <c r="A66" s="36" t="s">
        <v>17</v>
      </c>
      <c r="B66" s="31"/>
      <c r="C66" s="1" t="s">
        <v>0</v>
      </c>
      <c r="D66" s="1" t="s">
        <v>1</v>
      </c>
      <c r="E66" s="1" t="s">
        <v>2</v>
      </c>
    </row>
    <row r="67" spans="1:6" ht="15.75" customHeight="1">
      <c r="A67" s="33" t="s">
        <v>4</v>
      </c>
      <c r="B67" s="1" t="s">
        <v>10</v>
      </c>
      <c r="C67" s="24" t="s">
        <v>16</v>
      </c>
      <c r="D67" s="26">
        <v>3.7219000000000002</v>
      </c>
      <c r="E67" s="26">
        <v>2.4081999999999999</v>
      </c>
      <c r="F67" s="18"/>
    </row>
    <row r="68" spans="1:6" ht="15.75" customHeight="1">
      <c r="A68" s="35"/>
      <c r="B68" s="1" t="s">
        <v>11</v>
      </c>
      <c r="C68" s="24" t="s">
        <v>16</v>
      </c>
      <c r="D68" s="27">
        <v>65.253399999999999</v>
      </c>
      <c r="E68" s="26">
        <v>25.292999999999999</v>
      </c>
      <c r="F68" s="23"/>
    </row>
    <row r="69" spans="1:6" ht="15.75" customHeight="1">
      <c r="A69" s="34"/>
      <c r="B69" s="4" t="s">
        <v>6</v>
      </c>
      <c r="C69" s="24" t="s">
        <v>16</v>
      </c>
      <c r="D69" s="15">
        <v>3.3999999999999998E-3</v>
      </c>
      <c r="E69" s="15">
        <v>2.7000000000000001E-3</v>
      </c>
      <c r="F69" s="23"/>
    </row>
    <row r="70" spans="1:6" ht="15.75" customHeight="1">
      <c r="A70" s="33" t="s">
        <v>7</v>
      </c>
      <c r="B70" s="1" t="s">
        <v>10</v>
      </c>
      <c r="C70" s="24" t="s">
        <v>16</v>
      </c>
      <c r="D70" s="1">
        <v>0.45</v>
      </c>
      <c r="E70" s="1">
        <v>0.26</v>
      </c>
      <c r="F70" s="11"/>
    </row>
    <row r="71" spans="1:6" ht="15.75" customHeight="1">
      <c r="A71" s="35"/>
      <c r="B71" s="1" t="s">
        <v>11</v>
      </c>
      <c r="C71" s="24" t="s">
        <v>16</v>
      </c>
      <c r="D71" s="1">
        <v>9.06</v>
      </c>
      <c r="E71" s="1">
        <v>16.3</v>
      </c>
      <c r="F71" s="11"/>
    </row>
    <row r="72" spans="1:6" ht="15.75" customHeight="1">
      <c r="A72" s="34"/>
      <c r="B72" s="4" t="s">
        <v>6</v>
      </c>
      <c r="C72" s="24" t="s">
        <v>16</v>
      </c>
      <c r="D72" s="15">
        <v>8.0000000000000004E-4</v>
      </c>
      <c r="E72" s="15">
        <v>4.0000000000000002E-4</v>
      </c>
      <c r="F72" s="11"/>
    </row>
    <row r="73" spans="1:6" ht="15.75" customHeight="1">
      <c r="A73" s="33" t="s">
        <v>8</v>
      </c>
      <c r="B73" s="1" t="s">
        <v>10</v>
      </c>
      <c r="C73" s="24" t="s">
        <v>16</v>
      </c>
      <c r="D73" s="14">
        <v>3.23</v>
      </c>
      <c r="E73" s="14">
        <v>2.2400000000000002</v>
      </c>
      <c r="F73" s="11"/>
    </row>
    <row r="74" spans="1:6" ht="15.75" customHeight="1">
      <c r="A74" s="35"/>
      <c r="B74" s="1" t="s">
        <v>11</v>
      </c>
      <c r="C74" s="24" t="s">
        <v>16</v>
      </c>
      <c r="D74" s="14">
        <v>48.514000000000003</v>
      </c>
      <c r="E74" s="14">
        <v>19.86</v>
      </c>
    </row>
    <row r="75" spans="1:6" ht="15.75" customHeight="1">
      <c r="A75" s="34"/>
      <c r="B75" s="4" t="s">
        <v>6</v>
      </c>
      <c r="C75" s="24" t="s">
        <v>16</v>
      </c>
      <c r="D75" s="15">
        <v>3.0000000000000001E-3</v>
      </c>
      <c r="E75" s="15">
        <v>2.5000000000000001E-3</v>
      </c>
      <c r="F75" s="18"/>
    </row>
    <row r="76" spans="1:6" ht="15.75" customHeight="1">
      <c r="A76" s="28"/>
      <c r="B76" s="28"/>
      <c r="C76" s="10"/>
      <c r="D76" s="10"/>
      <c r="E76" s="10"/>
      <c r="F76" s="29"/>
    </row>
    <row r="77" spans="1:6" ht="15.75" customHeight="1">
      <c r="A77" s="36" t="s">
        <v>18</v>
      </c>
      <c r="B77" s="31"/>
      <c r="C77" s="1" t="s">
        <v>0</v>
      </c>
      <c r="D77" s="1" t="s">
        <v>1</v>
      </c>
      <c r="E77" s="1" t="s">
        <v>2</v>
      </c>
      <c r="F77" s="29"/>
    </row>
    <row r="78" spans="1:6" ht="15.75" customHeight="1">
      <c r="A78" s="33" t="s">
        <v>4</v>
      </c>
      <c r="B78" s="1" t="s">
        <v>10</v>
      </c>
      <c r="C78" s="17">
        <v>0.2591</v>
      </c>
      <c r="D78" s="17">
        <v>2.2027000000000001</v>
      </c>
      <c r="E78" s="17">
        <v>1.7388999999999999</v>
      </c>
      <c r="F78" s="29"/>
    </row>
    <row r="79" spans="1:6" ht="15.75" customHeight="1">
      <c r="A79" s="35"/>
      <c r="B79" s="1" t="s">
        <v>11</v>
      </c>
      <c r="C79" s="17">
        <v>37.688099999999999</v>
      </c>
      <c r="D79" s="25">
        <v>156.1524</v>
      </c>
      <c r="E79" s="17">
        <v>67.344300000000004</v>
      </c>
      <c r="F79" s="10"/>
    </row>
    <row r="80" spans="1:6" ht="15.75" customHeight="1">
      <c r="A80" s="34"/>
      <c r="B80" s="4" t="s">
        <v>6</v>
      </c>
      <c r="C80" s="15">
        <v>1.9E-3</v>
      </c>
      <c r="D80" s="15">
        <v>1.15E-2</v>
      </c>
      <c r="E80" s="15">
        <v>1.03E-2</v>
      </c>
      <c r="F80" s="10"/>
    </row>
    <row r="81" spans="1:6" ht="15.75" customHeight="1">
      <c r="A81" s="33" t="s">
        <v>7</v>
      </c>
      <c r="B81" s="1" t="s">
        <v>10</v>
      </c>
      <c r="C81" s="1">
        <v>0.24</v>
      </c>
      <c r="D81" s="1">
        <v>0.19</v>
      </c>
      <c r="E81" s="1">
        <v>0.16</v>
      </c>
      <c r="F81" s="10"/>
    </row>
    <row r="82" spans="1:6" ht="15.75" customHeight="1">
      <c r="A82" s="35"/>
      <c r="B82" s="1" t="s">
        <v>11</v>
      </c>
      <c r="C82" s="1">
        <v>14.72</v>
      </c>
      <c r="D82" s="1">
        <v>72.06</v>
      </c>
      <c r="E82" s="1">
        <v>70.069999999999993</v>
      </c>
      <c r="F82" s="10"/>
    </row>
    <row r="83" spans="1:6" ht="15.75" customHeight="1">
      <c r="A83" s="34"/>
      <c r="B83" s="4" t="s">
        <v>6</v>
      </c>
      <c r="C83" s="15">
        <v>5.9999999999999995E-4</v>
      </c>
      <c r="D83" s="15">
        <v>5.9999999999999995E-4</v>
      </c>
      <c r="E83" s="15">
        <v>5.0000000000000001E-4</v>
      </c>
    </row>
    <row r="84" spans="1:6" ht="15.75" customHeight="1">
      <c r="A84" s="33" t="s">
        <v>8</v>
      </c>
      <c r="B84" s="1" t="s">
        <v>10</v>
      </c>
      <c r="C84" s="14">
        <v>2.78</v>
      </c>
      <c r="D84" s="14">
        <v>1.81</v>
      </c>
      <c r="E84" s="14">
        <v>1.05</v>
      </c>
      <c r="F84" s="18"/>
    </row>
    <row r="85" spans="1:6" ht="15.75" customHeight="1">
      <c r="A85" s="35"/>
      <c r="B85" s="1" t="s">
        <v>11</v>
      </c>
      <c r="C85" s="14">
        <v>38.941000000000003</v>
      </c>
      <c r="D85" s="14">
        <v>21.007000000000001</v>
      </c>
      <c r="E85" s="14">
        <v>0.11700000000000001</v>
      </c>
      <c r="F85" s="29"/>
    </row>
    <row r="86" spans="1:6" ht="15.75" customHeight="1">
      <c r="A86" s="34"/>
      <c r="B86" s="4" t="s">
        <v>6</v>
      </c>
      <c r="C86" s="15">
        <v>4.3E-3</v>
      </c>
      <c r="D86" s="15">
        <v>2.5999999999999999E-3</v>
      </c>
      <c r="E86" s="15">
        <v>1.8E-3</v>
      </c>
      <c r="F86" s="29"/>
    </row>
    <row r="87" spans="1:6" ht="15.75" customHeight="1">
      <c r="A87" s="18"/>
      <c r="B87" s="11"/>
      <c r="C87" s="10"/>
      <c r="D87" s="10"/>
      <c r="E87" s="10"/>
      <c r="F87" s="10"/>
    </row>
    <row r="88" spans="1:6" ht="15.75" customHeight="1">
      <c r="A88" s="36" t="s">
        <v>19</v>
      </c>
      <c r="B88" s="31"/>
      <c r="C88" s="1" t="s">
        <v>0</v>
      </c>
      <c r="D88" s="1" t="s">
        <v>1</v>
      </c>
      <c r="E88" s="1" t="s">
        <v>2</v>
      </c>
      <c r="F88" s="10"/>
    </row>
    <row r="89" spans="1:6" ht="15.75" customHeight="1">
      <c r="A89" s="33" t="s">
        <v>4</v>
      </c>
      <c r="B89" s="1" t="s">
        <v>10</v>
      </c>
      <c r="C89" s="17">
        <v>0.4335</v>
      </c>
      <c r="D89" s="17">
        <v>1.526</v>
      </c>
      <c r="E89" s="17">
        <v>1.5829</v>
      </c>
      <c r="F89" s="10"/>
    </row>
    <row r="90" spans="1:6" ht="15.75" customHeight="1">
      <c r="A90" s="35"/>
      <c r="B90" s="1" t="s">
        <v>11</v>
      </c>
      <c r="C90" s="17">
        <v>7.9241999999999999</v>
      </c>
      <c r="D90" s="17">
        <v>16.688500000000001</v>
      </c>
      <c r="E90" s="17">
        <v>19.372800000000002</v>
      </c>
      <c r="F90" s="10"/>
    </row>
    <row r="91" spans="1:6" ht="15.75" customHeight="1">
      <c r="A91" s="34"/>
      <c r="B91" s="4" t="s">
        <v>6</v>
      </c>
      <c r="C91" s="15">
        <v>1.1000000000000001E-3</v>
      </c>
      <c r="D91" s="15">
        <v>3.2000000000000002E-3</v>
      </c>
      <c r="E91" s="15">
        <v>3.3E-3</v>
      </c>
    </row>
    <row r="92" spans="1:6" ht="15.75" customHeight="1">
      <c r="A92" s="33" t="s">
        <v>7</v>
      </c>
      <c r="B92" s="1" t="s">
        <v>10</v>
      </c>
      <c r="C92" s="1">
        <v>0.96</v>
      </c>
      <c r="D92" s="1">
        <v>0.23</v>
      </c>
      <c r="E92" s="1">
        <v>0.14000000000000001</v>
      </c>
      <c r="F92" s="18"/>
    </row>
    <row r="93" spans="1:6" ht="15.75" customHeight="1">
      <c r="A93" s="35"/>
      <c r="B93" s="1" t="s">
        <v>11</v>
      </c>
      <c r="C93" s="1">
        <v>0.03</v>
      </c>
      <c r="D93" s="1">
        <v>89.84</v>
      </c>
      <c r="E93" s="1">
        <v>106.48</v>
      </c>
      <c r="F93" s="29"/>
    </row>
    <row r="94" spans="1:6" ht="15.75" customHeight="1">
      <c r="A94" s="34"/>
      <c r="B94" s="4" t="s">
        <v>6</v>
      </c>
      <c r="C94" s="15">
        <v>2.3999999999999998E-3</v>
      </c>
      <c r="D94" s="15">
        <v>8.0000000000000004E-4</v>
      </c>
      <c r="E94" s="15">
        <v>5.0000000000000001E-4</v>
      </c>
      <c r="F94" s="29"/>
    </row>
    <row r="95" spans="1:6" ht="15.75" customHeight="1">
      <c r="A95" s="33" t="s">
        <v>8</v>
      </c>
      <c r="B95" s="1" t="s">
        <v>10</v>
      </c>
      <c r="C95" s="14">
        <v>3.16</v>
      </c>
      <c r="D95" s="14">
        <v>1.94</v>
      </c>
      <c r="E95" s="14">
        <v>0.93</v>
      </c>
      <c r="F95" s="10"/>
    </row>
    <row r="96" spans="1:6" ht="15.75" customHeight="1">
      <c r="A96" s="35"/>
      <c r="B96" s="1" t="s">
        <v>11</v>
      </c>
      <c r="C96" s="14">
        <v>113.845</v>
      </c>
      <c r="D96" s="14">
        <v>59.058</v>
      </c>
      <c r="E96" s="14">
        <v>0.55900000000000005</v>
      </c>
      <c r="F96" s="10"/>
    </row>
    <row r="97" spans="1:6" ht="15.75" customHeight="1">
      <c r="A97" s="34"/>
      <c r="B97" s="4" t="s">
        <v>6</v>
      </c>
      <c r="C97" s="15">
        <v>9.4999999999999998E-3</v>
      </c>
      <c r="D97" s="15">
        <v>5.1000000000000004E-3</v>
      </c>
      <c r="E97" s="15">
        <v>3.3E-3</v>
      </c>
      <c r="F97" s="10"/>
    </row>
    <row r="98" spans="1:6" ht="15.75" customHeight="1">
      <c r="A98" s="18"/>
      <c r="B98" s="11"/>
      <c r="C98" s="10"/>
      <c r="D98" s="10"/>
      <c r="E98" s="10"/>
      <c r="F98" s="10"/>
    </row>
    <row r="99" spans="1:6" ht="15.75" customHeight="1">
      <c r="A99" s="36" t="s">
        <v>20</v>
      </c>
      <c r="B99" s="31"/>
      <c r="C99" s="1" t="s">
        <v>0</v>
      </c>
      <c r="D99" s="1" t="s">
        <v>1</v>
      </c>
      <c r="E99" s="1" t="s">
        <v>2</v>
      </c>
    </row>
    <row r="100" spans="1:6" ht="15.75" customHeight="1">
      <c r="A100" s="33" t="s">
        <v>4</v>
      </c>
      <c r="B100" s="1" t="s">
        <v>10</v>
      </c>
      <c r="C100" s="17">
        <v>0.63100000000000001</v>
      </c>
      <c r="D100" s="17">
        <v>1.9970000000000001</v>
      </c>
      <c r="E100" s="17">
        <v>1.4894000000000001</v>
      </c>
      <c r="F100" s="18"/>
    </row>
    <row r="101" spans="1:6" ht="15.75" customHeight="1">
      <c r="A101" s="35"/>
      <c r="B101" s="1" t="s">
        <v>11</v>
      </c>
      <c r="C101" s="17">
        <v>1.8633999999999999</v>
      </c>
      <c r="D101" s="25">
        <v>26.915099999999999</v>
      </c>
      <c r="E101" s="17">
        <v>8.3681000000000001</v>
      </c>
      <c r="F101" s="29"/>
    </row>
    <row r="102" spans="1:6" ht="15.75" customHeight="1">
      <c r="A102" s="34"/>
      <c r="B102" s="4" t="s">
        <v>6</v>
      </c>
      <c r="C102" s="15">
        <v>8.9999999999999998E-4</v>
      </c>
      <c r="D102" s="15">
        <v>2.2000000000000001E-3</v>
      </c>
      <c r="E102" s="15">
        <v>1.9E-3</v>
      </c>
      <c r="F102" s="29"/>
    </row>
    <row r="103" spans="1:6" ht="15.75" customHeight="1">
      <c r="A103" s="33" t="s">
        <v>7</v>
      </c>
      <c r="B103" s="1" t="s">
        <v>10</v>
      </c>
      <c r="C103" s="1">
        <v>1.1000000000000001</v>
      </c>
      <c r="D103" s="1">
        <v>0.27</v>
      </c>
      <c r="E103" s="1">
        <v>0.17</v>
      </c>
      <c r="F103" s="10"/>
    </row>
    <row r="104" spans="1:6" ht="15.75" customHeight="1">
      <c r="A104" s="35"/>
      <c r="B104" s="1" t="s">
        <v>11</v>
      </c>
      <c r="C104" s="1">
        <v>0.26</v>
      </c>
      <c r="D104" s="1">
        <v>91.25</v>
      </c>
      <c r="E104" s="1">
        <v>119.7</v>
      </c>
      <c r="F104" s="10"/>
    </row>
    <row r="105" spans="1:6" ht="15.75" customHeight="1">
      <c r="A105" s="34"/>
      <c r="B105" s="4" t="s">
        <v>6</v>
      </c>
      <c r="C105" s="15">
        <v>3.2000000000000002E-3</v>
      </c>
      <c r="D105" s="15">
        <v>1.1000000000000001E-3</v>
      </c>
      <c r="E105" s="15">
        <v>6.9999999999999999E-4</v>
      </c>
      <c r="F105" s="10"/>
    </row>
    <row r="106" spans="1:6" ht="15.75" customHeight="1">
      <c r="A106" s="33" t="s">
        <v>8</v>
      </c>
      <c r="B106" s="1" t="s">
        <v>10</v>
      </c>
      <c r="C106" s="14">
        <v>4.13</v>
      </c>
      <c r="D106" s="14">
        <v>1.63</v>
      </c>
      <c r="E106" s="14">
        <v>0.9</v>
      </c>
      <c r="F106" s="10"/>
    </row>
    <row r="107" spans="1:6" ht="15.75" customHeight="1">
      <c r="A107" s="35"/>
      <c r="B107" s="1" t="s">
        <v>11</v>
      </c>
      <c r="C107" s="14">
        <v>270.86799999999999</v>
      </c>
      <c r="D107" s="14">
        <v>39.762999999999998</v>
      </c>
      <c r="E107" s="14">
        <v>1.472</v>
      </c>
    </row>
    <row r="108" spans="1:6" ht="15.75" customHeight="1">
      <c r="A108" s="34"/>
      <c r="B108" s="4" t="s">
        <v>6</v>
      </c>
      <c r="C108" s="15">
        <v>1.52E-2</v>
      </c>
      <c r="D108" s="15">
        <v>5.8999999999999999E-3</v>
      </c>
      <c r="E108" s="15">
        <v>4.1000000000000003E-3</v>
      </c>
      <c r="F108" s="18"/>
    </row>
    <row r="109" spans="1:6" ht="15.75" customHeight="1">
      <c r="A109" s="18"/>
      <c r="B109" s="11"/>
      <c r="C109" s="29"/>
      <c r="D109" s="29"/>
      <c r="E109" s="29"/>
      <c r="F109" s="29"/>
    </row>
    <row r="110" spans="1:6" ht="15.75" customHeight="1">
      <c r="A110" s="39" t="s">
        <v>21</v>
      </c>
      <c r="B110" s="31"/>
      <c r="C110" s="1" t="s">
        <v>0</v>
      </c>
      <c r="D110" s="1" t="s">
        <v>1</v>
      </c>
      <c r="E110" s="1" t="s">
        <v>2</v>
      </c>
      <c r="F110" s="29"/>
    </row>
    <row r="111" spans="1:6" ht="15.75" customHeight="1">
      <c r="A111" s="33" t="s">
        <v>4</v>
      </c>
      <c r="B111" s="1" t="s">
        <v>10</v>
      </c>
      <c r="C111" s="17">
        <v>0.82809999999999995</v>
      </c>
      <c r="D111" s="17">
        <v>2.1417000000000002</v>
      </c>
      <c r="E111" s="17">
        <v>1.4178999999999999</v>
      </c>
      <c r="F111" s="10"/>
    </row>
    <row r="112" spans="1:6" ht="15.75" customHeight="1">
      <c r="A112" s="35"/>
      <c r="B112" s="1" t="s">
        <v>11</v>
      </c>
      <c r="C112" s="17">
        <v>0.27060000000000001</v>
      </c>
      <c r="D112" s="25">
        <v>22.7775</v>
      </c>
      <c r="E112" s="17">
        <v>4.3563000000000001</v>
      </c>
      <c r="F112" s="10"/>
    </row>
    <row r="113" spans="1:6" ht="15.75" customHeight="1">
      <c r="A113" s="34"/>
      <c r="B113" s="4" t="s">
        <v>6</v>
      </c>
      <c r="C113" s="15">
        <v>6.9999999999999999E-4</v>
      </c>
      <c r="D113" s="15">
        <v>1.4E-3</v>
      </c>
      <c r="E113" s="15">
        <v>1.1000000000000001E-3</v>
      </c>
      <c r="F113" s="10"/>
    </row>
    <row r="114" spans="1:6" ht="15.75" customHeight="1">
      <c r="A114" s="33" t="s">
        <v>7</v>
      </c>
      <c r="B114" s="1" t="s">
        <v>10</v>
      </c>
      <c r="C114" s="1">
        <v>1.37</v>
      </c>
      <c r="D114" s="1">
        <v>0.19</v>
      </c>
      <c r="E114" s="1">
        <v>0.02</v>
      </c>
      <c r="F114" s="10"/>
    </row>
    <row r="115" spans="1:6" ht="15.75" customHeight="1">
      <c r="A115" s="35"/>
      <c r="B115" s="1" t="s">
        <v>11</v>
      </c>
      <c r="C115" s="1">
        <v>5.13</v>
      </c>
      <c r="D115" s="1">
        <v>154.74</v>
      </c>
      <c r="E115" s="1">
        <v>1632.36</v>
      </c>
    </row>
    <row r="116" spans="1:6" ht="15.75" customHeight="1">
      <c r="A116" s="34"/>
      <c r="B116" s="4" t="s">
        <v>6</v>
      </c>
      <c r="C116" s="15">
        <v>5.1999999999999998E-3</v>
      </c>
      <c r="D116" s="15">
        <v>1E-3</v>
      </c>
      <c r="E116" s="15">
        <v>2.9999999999999997E-4</v>
      </c>
    </row>
    <row r="117" spans="1:6" ht="15.75" customHeight="1">
      <c r="A117" s="33" t="s">
        <v>8</v>
      </c>
      <c r="B117" s="1" t="s">
        <v>10</v>
      </c>
      <c r="C117" s="14">
        <v>4.68</v>
      </c>
      <c r="D117" s="14">
        <v>1.8</v>
      </c>
      <c r="E117" s="14">
        <v>0.9</v>
      </c>
    </row>
    <row r="118" spans="1:6" ht="15.75" customHeight="1">
      <c r="A118" s="35"/>
      <c r="B118" s="1" t="s">
        <v>11</v>
      </c>
      <c r="C118" s="14">
        <v>341.32499999999999</v>
      </c>
      <c r="D118" s="14">
        <v>55.832000000000001</v>
      </c>
      <c r="E118" s="14">
        <v>1.405</v>
      </c>
    </row>
    <row r="119" spans="1:6" ht="15.75" customHeight="1">
      <c r="A119" s="34"/>
      <c r="B119" s="4" t="s">
        <v>6</v>
      </c>
      <c r="C119" s="15">
        <v>1.4500000000000001E-2</v>
      </c>
      <c r="D119" s="15">
        <v>5.5999999999999999E-3</v>
      </c>
      <c r="E119" s="15">
        <v>3.5000000000000001E-3</v>
      </c>
    </row>
    <row r="120" spans="1:6" ht="15.75" customHeight="1"/>
    <row r="121" spans="1:6" ht="15.75" customHeight="1">
      <c r="A121" s="36" t="s">
        <v>22</v>
      </c>
      <c r="B121" s="31"/>
      <c r="C121" s="1" t="s">
        <v>0</v>
      </c>
      <c r="D121" s="1" t="s">
        <v>1</v>
      </c>
      <c r="E121" s="1" t="s">
        <v>2</v>
      </c>
    </row>
    <row r="122" spans="1:6" ht="15.75" customHeight="1">
      <c r="A122" s="33" t="s">
        <v>4</v>
      </c>
      <c r="B122" s="1" t="s">
        <v>10</v>
      </c>
      <c r="C122" s="17">
        <v>1.1731</v>
      </c>
      <c r="D122" s="17">
        <v>2.4823</v>
      </c>
      <c r="E122" s="17">
        <v>1.5874999999999999</v>
      </c>
    </row>
    <row r="123" spans="1:6" ht="15.75" customHeight="1">
      <c r="A123" s="35"/>
      <c r="B123" s="1" t="s">
        <v>11</v>
      </c>
      <c r="C123" s="17">
        <v>9.5899999999999999E-2</v>
      </c>
      <c r="D123" s="25">
        <v>14.3086</v>
      </c>
      <c r="E123" s="17">
        <v>3.3940999999999999</v>
      </c>
    </row>
    <row r="124" spans="1:6" ht="15.75" customHeight="1">
      <c r="A124" s="34"/>
      <c r="B124" s="4" t="s">
        <v>6</v>
      </c>
      <c r="C124" s="15">
        <v>8.0000000000000004E-4</v>
      </c>
      <c r="D124" s="15">
        <v>1.2999999999999999E-3</v>
      </c>
      <c r="E124" s="15">
        <v>1E-3</v>
      </c>
    </row>
    <row r="125" spans="1:6" ht="15.75" customHeight="1">
      <c r="A125" s="33" t="s">
        <v>7</v>
      </c>
      <c r="B125" s="1" t="s">
        <v>10</v>
      </c>
      <c r="C125" s="1">
        <v>1.66</v>
      </c>
      <c r="D125" s="1">
        <v>0.22</v>
      </c>
      <c r="E125" s="1">
        <v>0.19</v>
      </c>
    </row>
    <row r="126" spans="1:6" ht="15.75" customHeight="1">
      <c r="A126" s="35"/>
      <c r="B126" s="1" t="s">
        <v>11</v>
      </c>
      <c r="C126" s="1">
        <v>7.93</v>
      </c>
      <c r="D126" s="1">
        <v>71.81</v>
      </c>
      <c r="E126" s="1">
        <v>93.92</v>
      </c>
    </row>
    <row r="127" spans="1:6" ht="15.75" customHeight="1">
      <c r="A127" s="34"/>
      <c r="B127" s="4" t="s">
        <v>6</v>
      </c>
      <c r="C127" s="15">
        <v>6.8999999999999999E-3</v>
      </c>
      <c r="D127" s="15">
        <v>1.1999999999999999E-3</v>
      </c>
      <c r="E127" s="15">
        <v>1E-3</v>
      </c>
    </row>
    <row r="128" spans="1:6" ht="15.75" customHeight="1">
      <c r="A128" s="33" t="s">
        <v>8</v>
      </c>
      <c r="B128" s="1" t="s">
        <v>10</v>
      </c>
      <c r="C128" s="14">
        <v>5.89</v>
      </c>
      <c r="D128" s="14">
        <v>1.67</v>
      </c>
      <c r="E128" s="14">
        <v>1.08</v>
      </c>
    </row>
    <row r="129" spans="1:5" ht="15.75" customHeight="1">
      <c r="A129" s="35"/>
      <c r="B129" s="1" t="s">
        <v>11</v>
      </c>
      <c r="C129" s="14">
        <v>263.91699999999997</v>
      </c>
      <c r="D129" s="14">
        <v>21.818999999999999</v>
      </c>
      <c r="E129" s="14">
        <v>0.54200000000000004</v>
      </c>
    </row>
    <row r="130" spans="1:5" ht="15.75" customHeight="1">
      <c r="A130" s="34"/>
      <c r="B130" s="4" t="s">
        <v>6</v>
      </c>
      <c r="C130" s="15">
        <v>1.7999999999999999E-2</v>
      </c>
      <c r="D130" s="15">
        <v>5.4999999999999997E-3</v>
      </c>
      <c r="E130" s="15">
        <v>4.4999999999999997E-3</v>
      </c>
    </row>
    <row r="131" spans="1:5" ht="15.75" customHeight="1"/>
    <row r="132" spans="1:5" ht="15.75" customHeight="1">
      <c r="A132" s="36" t="s">
        <v>23</v>
      </c>
      <c r="B132" s="31"/>
      <c r="C132" s="1" t="s">
        <v>0</v>
      </c>
      <c r="D132" s="1" t="s">
        <v>1</v>
      </c>
      <c r="E132" s="1" t="s">
        <v>2</v>
      </c>
    </row>
    <row r="133" spans="1:5" ht="15.75" customHeight="1">
      <c r="A133" s="33" t="s">
        <v>4</v>
      </c>
      <c r="B133" s="1" t="s">
        <v>10</v>
      </c>
      <c r="C133" s="17">
        <v>1.5530999999999999</v>
      </c>
      <c r="D133" s="17">
        <v>3.6680999999999999</v>
      </c>
      <c r="E133" s="17">
        <v>1.1783999999999999</v>
      </c>
    </row>
    <row r="134" spans="1:5" ht="15.75" customHeight="1">
      <c r="A134" s="35"/>
      <c r="B134" s="1" t="s">
        <v>11</v>
      </c>
      <c r="C134" s="17">
        <v>0.94620000000000004</v>
      </c>
      <c r="D134" s="17">
        <v>61.154299999999999</v>
      </c>
      <c r="E134" s="17">
        <v>0.80320000000000003</v>
      </c>
    </row>
    <row r="135" spans="1:5" ht="15.75" customHeight="1">
      <c r="A135" s="34"/>
      <c r="B135" s="4" t="s">
        <v>6</v>
      </c>
      <c r="C135" s="15">
        <v>8.9999999999999998E-4</v>
      </c>
      <c r="D135" s="15">
        <v>1.4E-3</v>
      </c>
      <c r="E135" s="15">
        <v>6.9999999999999999E-4</v>
      </c>
    </row>
    <row r="136" spans="1:5" ht="15.75" customHeight="1">
      <c r="A136" s="33" t="s">
        <v>7</v>
      </c>
      <c r="B136" s="1" t="s">
        <v>10</v>
      </c>
      <c r="C136" s="1">
        <v>1.1599999999999999</v>
      </c>
      <c r="D136" s="1">
        <v>0.37</v>
      </c>
      <c r="E136" s="1">
        <v>0.17</v>
      </c>
    </row>
    <row r="137" spans="1:5" ht="15.75" customHeight="1">
      <c r="A137" s="35"/>
      <c r="B137" s="1" t="s">
        <v>11</v>
      </c>
      <c r="C137" s="1">
        <v>0.56000000000000005</v>
      </c>
      <c r="D137" s="1">
        <v>81.11</v>
      </c>
      <c r="E137" s="1">
        <v>261.64</v>
      </c>
    </row>
    <row r="138" spans="1:5" ht="15.75" customHeight="1">
      <c r="A138" s="34"/>
      <c r="B138" s="4" t="s">
        <v>6</v>
      </c>
      <c r="C138" s="15">
        <v>4.7000000000000002E-3</v>
      </c>
      <c r="D138" s="15">
        <v>1.6999999999999999E-3</v>
      </c>
      <c r="E138" s="15">
        <v>1E-3</v>
      </c>
    </row>
    <row r="139" spans="1:5" ht="15.75" customHeight="1">
      <c r="A139" s="33" t="s">
        <v>8</v>
      </c>
      <c r="B139" s="1" t="s">
        <v>10</v>
      </c>
      <c r="C139" s="21">
        <v>7.15</v>
      </c>
      <c r="D139" s="21">
        <v>2.34</v>
      </c>
      <c r="E139" s="21">
        <v>1.2</v>
      </c>
    </row>
    <row r="140" spans="1:5" ht="15.75" customHeight="1">
      <c r="A140" s="35"/>
      <c r="B140" s="1" t="s">
        <v>11</v>
      </c>
      <c r="C140" s="21">
        <v>548.19399999999996</v>
      </c>
      <c r="D140" s="21">
        <v>142.53299999999999</v>
      </c>
      <c r="E140" s="21">
        <v>6.2389999999999999</v>
      </c>
    </row>
    <row r="141" spans="1:5" ht="15.75" customHeight="1">
      <c r="A141" s="34"/>
      <c r="B141" s="4" t="s">
        <v>6</v>
      </c>
      <c r="C141" s="6">
        <v>2.2200000000000001E-2</v>
      </c>
      <c r="D141" s="6">
        <v>6.4999999999999997E-3</v>
      </c>
      <c r="E141" s="6">
        <v>4.1000000000000003E-3</v>
      </c>
    </row>
    <row r="142" spans="1:5" ht="15.75" customHeight="1"/>
    <row r="143" spans="1:5" ht="15.75" customHeight="1"/>
    <row r="144" spans="1:5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A136:A138"/>
    <mergeCell ref="A139:A141"/>
    <mergeCell ref="A106:A108"/>
    <mergeCell ref="A111:A113"/>
    <mergeCell ref="A114:A116"/>
    <mergeCell ref="A117:A119"/>
    <mergeCell ref="A121:B121"/>
    <mergeCell ref="A122:A124"/>
    <mergeCell ref="A125:A127"/>
    <mergeCell ref="A103:A105"/>
    <mergeCell ref="A110:B110"/>
    <mergeCell ref="A128:A130"/>
    <mergeCell ref="A132:B132"/>
    <mergeCell ref="A133:A135"/>
    <mergeCell ref="A89:A91"/>
    <mergeCell ref="A92:A94"/>
    <mergeCell ref="A95:A97"/>
    <mergeCell ref="A99:B99"/>
    <mergeCell ref="A100:A102"/>
    <mergeCell ref="A77:B77"/>
    <mergeCell ref="A78:A80"/>
    <mergeCell ref="A81:A83"/>
    <mergeCell ref="A84:A86"/>
    <mergeCell ref="A88:B88"/>
    <mergeCell ref="A62:A64"/>
    <mergeCell ref="A66:B66"/>
    <mergeCell ref="A67:A69"/>
    <mergeCell ref="A70:A72"/>
    <mergeCell ref="A73:A75"/>
    <mergeCell ref="A48:A50"/>
    <mergeCell ref="A51:A53"/>
    <mergeCell ref="A55:B55"/>
    <mergeCell ref="A56:A58"/>
    <mergeCell ref="A59:A61"/>
    <mergeCell ref="A34:A36"/>
    <mergeCell ref="A37:A39"/>
    <mergeCell ref="A40:A42"/>
    <mergeCell ref="A44:B44"/>
    <mergeCell ref="A45:A47"/>
    <mergeCell ref="A23:A25"/>
    <mergeCell ref="A26:A28"/>
    <mergeCell ref="A32:B32"/>
    <mergeCell ref="A33:B33"/>
    <mergeCell ref="A29:A31"/>
    <mergeCell ref="A12:A14"/>
    <mergeCell ref="A11:B11"/>
    <mergeCell ref="A15:A17"/>
    <mergeCell ref="A18:A20"/>
    <mergeCell ref="A22:B22"/>
    <mergeCell ref="A1:B1"/>
    <mergeCell ref="A2:B2"/>
    <mergeCell ref="A3:A4"/>
    <mergeCell ref="A5:A6"/>
    <mergeCell ref="A7:A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analysis of 3 AEs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Oliver</cp:lastModifiedBy>
  <dcterms:modified xsi:type="dcterms:W3CDTF">2022-04-30T18:30:17Z</dcterms:modified>
</cp:coreProperties>
</file>